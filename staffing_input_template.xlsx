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yoffice.accenture.com/personal/venkat_govindan_accenture_com/Documents/personal/Projects/Staffing Viewer/"/>
    </mc:Choice>
  </mc:AlternateContent>
  <xr:revisionPtr revIDLastSave="32" documentId="11_571FF50511474631A0A31E5460B5BDF5E0A86CDA" xr6:coauthVersionLast="47" xr6:coauthVersionMax="47" xr10:uidLastSave="{820B08F6-86E4-4253-96D3-83D8F27789F3}"/>
  <bookViews>
    <workbookView xWindow="28680" yWindow="-45" windowWidth="29040" windowHeight="15720" xr2:uid="{00000000-000D-0000-FFFF-FFFF00000000}"/>
  </bookViews>
  <sheets>
    <sheet name="Staffing Plan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" i="1" l="1"/>
  <c r="AL5" i="1"/>
  <c r="AL6" i="1"/>
  <c r="AL7" i="1"/>
  <c r="AL3" i="1"/>
  <c r="T4" i="1"/>
  <c r="T5" i="1"/>
  <c r="T6" i="1"/>
  <c r="T7" i="1"/>
  <c r="T3" i="1"/>
  <c r="AK4" i="1"/>
  <c r="AK5" i="1"/>
  <c r="AK6" i="1"/>
  <c r="AK7" i="1"/>
  <c r="AK3" i="1"/>
</calcChain>
</file>

<file path=xl/sharedStrings.xml><?xml version="1.0" encoding="utf-8"?>
<sst xmlns="http://schemas.openxmlformats.org/spreadsheetml/2006/main" count="219" uniqueCount="139">
  <si>
    <t>Programme Staffing Plan</t>
  </si>
  <si>
    <t>Program</t>
  </si>
  <si>
    <t>Solution Type</t>
  </si>
  <si>
    <t/>
  </si>
  <si>
    <t>Role Group</t>
  </si>
  <si>
    <t>Project</t>
  </si>
  <si>
    <t>Pod Name</t>
  </si>
  <si>
    <t>Project Role</t>
  </si>
  <si>
    <t>Location</t>
  </si>
  <si>
    <t>Name</t>
  </si>
  <si>
    <t>Enterprise ID</t>
  </si>
  <si>
    <t>Level Band</t>
  </si>
  <si>
    <t>Bill Code</t>
  </si>
  <si>
    <t>LCR</t>
  </si>
  <si>
    <t>Total FTE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</si>
  <si>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</si>
  <si>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</si>
  <si>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</si>
  <si>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</si>
  <si>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</si>
  <si>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</si>
  <si>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</si>
  <si>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</si>
  <si>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</si>
  <si>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</si>
  <si>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</si>
  <si>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</si>
  <si>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</si>
  <si>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</si>
  <si>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</si>
  <si>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</si>
  <si>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Total Days</t>
  </si>
  <si>
    <t>Cost</t>
  </si>
  <si>
    <t>App Migration</t>
  </si>
  <si>
    <t>Migration Pod 1</t>
  </si>
  <si>
    <t>Migration Lead</t>
  </si>
  <si>
    <t>USA</t>
  </si>
  <si>
    <t>John Smith</t>
  </si>
  <si>
    <t>john.smith</t>
  </si>
  <si>
    <t>7-Manager</t>
  </si>
  <si>
    <t>Migration Analyst</t>
  </si>
  <si>
    <t>India</t>
  </si>
  <si>
    <t>Priya Sharma</t>
  </si>
  <si>
    <t>priya.sharma</t>
  </si>
  <si>
    <t>9-Team Lead/Consultant</t>
  </si>
  <si>
    <t>Data Platform</t>
  </si>
  <si>
    <t>Data Pod</t>
  </si>
  <si>
    <t>Data Lead</t>
  </si>
  <si>
    <t>Jane Doe</t>
  </si>
  <si>
    <t>jane.doe</t>
  </si>
  <si>
    <t>6-Senior Manager</t>
  </si>
  <si>
    <t>Data Engineer</t>
  </si>
  <si>
    <t>Raj Kumar</t>
  </si>
  <si>
    <t>raj.kumar</t>
  </si>
  <si>
    <t>8-Associate Manager</t>
  </si>
  <si>
    <t>Program Leadership</t>
  </si>
  <si>
    <t>Program Team</t>
  </si>
  <si>
    <t>Programme Manager</t>
  </si>
  <si>
    <t>TBD</t>
  </si>
  <si>
    <t>STAFFING ANALYSIS — INPUT TEMPLATE INSTRUCTIONS</t>
  </si>
  <si>
    <t>Sheet name must be exactly: Staffing Plan</t>
  </si>
  <si>
    <t>Column reference (all columns are required unless marked optional):</t>
  </si>
  <si>
    <t>Column</t>
  </si>
  <si>
    <t>Index</t>
  </si>
  <si>
    <t>Field</t>
  </si>
  <si>
    <t>Notes</t>
  </si>
  <si>
    <t>A</t>
  </si>
  <si>
    <t>0</t>
  </si>
  <si>
    <t>Programme name — same value in all rows</t>
  </si>
  <si>
    <t>B</t>
  </si>
  <si>
    <t>1</t>
  </si>
  <si>
    <t>e.g. Day 2, TSA Exit (optional)</t>
  </si>
  <si>
    <t>D</t>
  </si>
  <si>
    <t>3</t>
  </si>
  <si>
    <t>Ignored — use column E (Project) for grouping</t>
  </si>
  <si>
    <t>E</t>
  </si>
  <si>
    <t>4</t>
  </si>
  <si>
    <t>Group name used in all breakdowns (e.g. App Migration)</t>
  </si>
  <si>
    <t>F</t>
  </si>
  <si>
    <t>5</t>
  </si>
  <si>
    <t>Sub-team / pod name</t>
  </si>
  <si>
    <t>I</t>
  </si>
  <si>
    <t>8</t>
  </si>
  <si>
    <t>Job title / skill profile</t>
  </si>
  <si>
    <t>M</t>
  </si>
  <si>
    <t>12</t>
  </si>
  <si>
    <t>USA / India / Argentina (controls onshore vs offshore)</t>
  </si>
  <si>
    <t>N</t>
  </si>
  <si>
    <t>13</t>
  </si>
  <si>
    <t>Resource name — leave blank for TBD roles</t>
  </si>
  <si>
    <t>O</t>
  </si>
  <si>
    <t>14</t>
  </si>
  <si>
    <t>EID — used to count Named vs TBD; leave blank for TBD</t>
  </si>
  <si>
    <t>P</t>
  </si>
  <si>
    <t>15</t>
  </si>
  <si>
    <t>Must match: 6-Senior Manager, 7-Manager, 8-Associate Manager, 9-Team Lead/Consultant, 10-Senior Analyst, 11-Analyst, 12-Associate</t>
  </si>
  <si>
    <t>Q</t>
  </si>
  <si>
    <t>16</t>
  </si>
  <si>
    <t>Billing code / rate fallback ($/hr)</t>
  </si>
  <si>
    <t>R</t>
  </si>
  <si>
    <t>17</t>
  </si>
  <si>
    <t>Labour Cost Rate ($/hr) — PRIMARY rate used for cost calculations</t>
  </si>
  <si>
    <t>T</t>
  </si>
  <si>
    <t>19</t>
  </si>
  <si>
    <t>Sum of monthly FTE fractions — must be &gt; 0 for row to be included</t>
  </si>
  <si>
    <t>U–AJ</t>
  </si>
  <si>
    <t>20–35</t>
  </si>
  <si>
    <t>M1–M16</t>
  </si>
  <si>
    <t>Monthly FTE allocation (1 = full month, 0.5 = half, etc.)</t>
  </si>
  <si>
    <t>AK</t>
  </si>
  <si>
    <t>36</t>
  </si>
  <si>
    <t>Total staffed days for the resource</t>
  </si>
  <si>
    <t>AL</t>
  </si>
  <si>
    <t>37</t>
  </si>
  <si>
    <t>Pre-calculated cost from source system (for reference/validation)</t>
  </si>
  <si>
    <t>COST CALCULATION</t>
  </si>
  <si>
    <t>Onshore (USA): LCR (col R) × Total Days (col AK) × 8 hours/day</t>
  </si>
  <si>
    <t>Offshore (India / Argentina / other): LCR (col R) × Total Days (col AK) × 9 hours/day</t>
  </si>
  <si>
    <t>LOCATION VALUES</t>
  </si>
  <si>
    <t>Onshore: USA, US, United States, Onshore</t>
  </si>
  <si>
    <t>Offshore India: India, IN, and any location not matching onshore or Argentina</t>
  </si>
  <si>
    <t>Offshore Argentina: Argentina, AR</t>
  </si>
  <si>
    <t>Program 1</t>
  </si>
  <si>
    <t>Program 2</t>
  </si>
  <si>
    <t>SA solutioned</t>
  </si>
  <si>
    <t>Staff Aug</t>
  </si>
  <si>
    <t>Portfolio-Not used</t>
  </si>
  <si>
    <t>sub Portfolio - not used</t>
  </si>
  <si>
    <t>Accenture Role</t>
  </si>
  <si>
    <t>ADM Role</t>
  </si>
  <si>
    <t>Profile Combination</t>
  </si>
  <si>
    <t>Peak FTE</t>
  </si>
  <si>
    <t>tbd</t>
  </si>
  <si>
    <t>S.No</t>
  </si>
  <si>
    <t>PGM1 -001</t>
  </si>
  <si>
    <t>PGM1 -002</t>
  </si>
  <si>
    <t>PGM1 -003</t>
  </si>
  <si>
    <t>PGM2-001</t>
  </si>
  <si>
    <t>PGM2-002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</si>
</sst>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"/>
    <numFmt numFmtId="166" formatCode="&quot;$&quot;#,##0.00"/>
  </numFmts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000000"/>
      <name val="Calibri"/>
      <family val="2"/>
    </font>
    <font>
      <b/>
      <sz val="9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/>
    <xf numFmtId="0" fontId="0" fillId="0" borderId="1" xfId="0" applyBorder="1"/>
    <xf numFmtId="3" fontId="2" fillId="0" borderId="2" xfId="0" applyNumberFormat="1" applyFont="1" applyBorder="1" applyAlignment="1">
      <alignment horizontal="center" vertical="center" wrapText="1"/>
    </xf>
    <xf numFmtId="165" fontId="2" fillId="0" borderId="2" xfId="0" applyNumberFormat="1" applyFont="1" applyBorder="1" applyAlignment="1">
      <alignment horizontal="left" vertical="center" wrapText="1"/>
    </xf>
    <xf numFmtId="166" fontId="2" fillId="0" borderId="2" xfId="0" applyNumberFormat="1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3"/>
  <sheetViews>
    <sheetView tabSelected="1" workbookViewId="0">
      <selection activeCell="D14" sqref="D14"/>
    </sheetView>
  </sheetViews>
  <sheetFormatPr defaultRowHeight="15" x14ac:dyDescent="0.25"/>
  <cols>
    <col min="1" max="1" width="22.875" customWidth="1"/>
    <col min="2" max="3" width="12.875" customWidth="1"/>
    <col min="4" max="6" width="22.875" customWidth="1"/>
    <col min="7" max="8" width="12.875" customWidth="1"/>
    <col min="9" max="9" width="22.875" customWidth="1"/>
    <col min="10" max="12" width="12.875" customWidth="1"/>
    <col min="13" max="16" width="22.875" customWidth="1"/>
    <col min="17" max="20" width="12.875" customWidth="1"/>
    <col min="21" max="36" width="5.875" customWidth="1"/>
    <col min="37" max="38" width="12.875" customWidth="1"/>
  </cols>
  <sheetData>
    <row r="1" spans="1:38" ht="15.7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24" x14ac:dyDescent="0.25">
      <c r="A2" s="6" t="s">
        <v>1</v>
      </c>
      <c r="B2" s="6" t="s">
        <v>2</v>
      </c>
      <c r="C2" s="6" t="s">
        <v>133</v>
      </c>
      <c r="D2" s="6" t="s">
        <v>4</v>
      </c>
      <c r="E2" s="6" t="s">
        <v>5</v>
      </c>
      <c r="F2" s="6" t="s">
        <v>6</v>
      </c>
      <c r="G2" s="6" t="s">
        <v>126</v>
      </c>
      <c r="H2" s="6" t="s">
        <v>127</v>
      </c>
      <c r="I2" s="6" t="s">
        <v>7</v>
      </c>
      <c r="J2" s="6" t="s">
        <v>128</v>
      </c>
      <c r="K2" s="6" t="s">
        <v>129</v>
      </c>
      <c r="L2" s="6" t="s">
        <v>130</v>
      </c>
      <c r="M2" s="6" t="s">
        <v>8</v>
      </c>
      <c r="N2" s="6" t="s">
        <v>9</v>
      </c>
      <c r="O2" s="6" t="s">
        <v>10</v>
      </c>
      <c r="P2" s="6" t="s">
        <v>11</v>
      </c>
      <c r="Q2" s="6" t="s">
        <v>12</v>
      </c>
      <c r="R2" s="6" t="s">
        <v>13</v>
      </c>
      <c r="S2" s="6" t="s">
        <v>131</v>
      </c>
      <c r="T2" s="6" t="s">
        <v>14</v>
      </c>
      <c r="U2" s="6" t="s">
        <v>15</v>
      </c>
      <c r="V2" s="6" t="s">
        <v>16</v>
      </c>
      <c r="W2" s="6" t="s">
        <v>17</v>
      </c>
      <c r="X2" s="6" t="s">
        <v>18</v>
      </c>
      <c r="Y2" s="6" t="s">
        <v>19</v>
      </c>
      <c r="Z2" s="6" t="s">
        <v>20</v>
      </c>
      <c r="AA2" s="6" t="s">
        <v>21</v>
      </c>
      <c r="AB2" s="6" t="s">
        <v>22</v>
      </c>
      <c r="AC2" s="6" t="s">
        <v>23</v>
      </c>
      <c r="AD2" s="6" t="s">
        <v>24</v>
      </c>
      <c r="AE2" s="6" t="s">
        <v>25</v>
      </c>
      <c r="AF2" s="6" t="s">
        <v>26</v>
      </c>
      <c r="AG2" s="6" t="s">
        <v>27</v>
      </c>
      <c r="AH2" s="6" t="s">
        <v>28</v>
      </c>
      <c r="AI2" s="6" t="s">
        <v>29</v>
      </c>
      <c r="AJ2" s="6" t="s">
        <v>30</v>
      </c>
      <c r="AK2" s="6" t="s">
        <v>31</v>
      </c>
      <c r="AL2" s="6" t="s">
        <v>32</v>
      </c>
    </row>
    <row r="3" spans="1:38" ht="15.75" x14ac:dyDescent="0.25">
      <c r="A3" s="2" t="s">
        <v>122</v>
      </c>
      <c r="B3" s="2" t="s">
        <v>124</v>
      </c>
      <c r="C3" s="2" t="s">
        <v>134</v>
      </c>
      <c r="D3" s="2" t="s">
        <v>33</v>
      </c>
      <c r="E3" s="2" t="s">
        <v>33</v>
      </c>
      <c r="F3" s="2" t="s">
        <v>34</v>
      </c>
      <c r="G3" s="2" t="s">
        <v>3</v>
      </c>
      <c r="H3" s="2" t="s">
        <v>3</v>
      </c>
      <c r="I3" s="2" t="s">
        <v>35</v>
      </c>
      <c r="J3" s="2" t="s">
        <v>3</v>
      </c>
      <c r="K3" s="2" t="s">
        <v>3</v>
      </c>
      <c r="L3" s="2" t="s">
        <v>3</v>
      </c>
      <c r="M3" s="2" t="s">
        <v>36</v>
      </c>
      <c r="N3" s="2" t="s">
        <v>37</v>
      </c>
      <c r="O3" s="2" t="s">
        <v>38</v>
      </c>
      <c r="P3" s="2" t="s">
        <v>39</v>
      </c>
      <c r="Q3" s="2">
        <v>70</v>
      </c>
      <c r="R3" s="2">
        <v>205</v>
      </c>
      <c r="S3" s="2" t="s">
        <v>3</v>
      </c>
      <c r="T3" s="4">
        <f t="shared" ref="T3:T7" si="0">SUM(U3:AJ3)</f>
        <v>16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2">
        <v>1</v>
      </c>
      <c r="AC3" s="2">
        <v>1</v>
      </c>
      <c r="AD3" s="2">
        <v>1</v>
      </c>
      <c r="AE3" s="2">
        <v>1</v>
      </c>
      <c r="AF3" s="2">
        <v>1</v>
      </c>
      <c r="AG3" s="2">
        <v>1</v>
      </c>
      <c r="AH3" s="2">
        <v>1</v>
      </c>
      <c r="AI3" s="2">
        <v>1</v>
      </c>
      <c r="AJ3" s="2">
        <v>1</v>
      </c>
      <c r="AK3" s="3">
        <f t="shared" ref="AK3:AK7" si="1">T3*20</f>
        <v>320</v>
      </c>
      <c r="AL3" s="5">
        <f t="shared" ref="AL3:AL7" si="2">AK3*R3*(IF(M3="India",9,8))</f>
        <v>524800</v>
      </c>
    </row>
    <row r="4" spans="1:38" ht="15.75" x14ac:dyDescent="0.25">
      <c r="A4" s="2" t="s">
        <v>122</v>
      </c>
      <c r="B4" s="2" t="s">
        <v>124</v>
      </c>
      <c r="C4" s="2" t="s">
        <v>135</v>
      </c>
      <c r="D4" s="2" t="s">
        <v>33</v>
      </c>
      <c r="E4" s="2" t="s">
        <v>33</v>
      </c>
      <c r="F4" s="2" t="s">
        <v>34</v>
      </c>
      <c r="G4" s="2" t="s">
        <v>3</v>
      </c>
      <c r="H4" s="2" t="s">
        <v>3</v>
      </c>
      <c r="I4" s="2" t="s">
        <v>40</v>
      </c>
      <c r="J4" s="2" t="s">
        <v>3</v>
      </c>
      <c r="K4" s="2" t="s">
        <v>3</v>
      </c>
      <c r="L4" s="2" t="s">
        <v>3</v>
      </c>
      <c r="M4" s="2" t="s">
        <v>41</v>
      </c>
      <c r="N4" s="2" t="s">
        <v>42</v>
      </c>
      <c r="O4" s="2" t="s">
        <v>43</v>
      </c>
      <c r="P4" s="2" t="s">
        <v>44</v>
      </c>
      <c r="Q4" s="2">
        <v>16</v>
      </c>
      <c r="R4" s="2">
        <v>18</v>
      </c>
      <c r="S4" s="2" t="s">
        <v>3</v>
      </c>
      <c r="T4" s="4">
        <f t="shared" si="0"/>
        <v>16</v>
      </c>
      <c r="U4" s="2">
        <v>1</v>
      </c>
      <c r="V4" s="2">
        <v>1</v>
      </c>
      <c r="W4" s="2">
        <v>1</v>
      </c>
      <c r="X4" s="2">
        <v>1</v>
      </c>
      <c r="Y4" s="2">
        <v>1</v>
      </c>
      <c r="Z4" s="2">
        <v>1</v>
      </c>
      <c r="AA4" s="2">
        <v>1</v>
      </c>
      <c r="AB4" s="2">
        <v>1</v>
      </c>
      <c r="AC4" s="2">
        <v>1</v>
      </c>
      <c r="AD4" s="2">
        <v>1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1</v>
      </c>
      <c r="AK4" s="3">
        <f t="shared" si="1"/>
        <v>320</v>
      </c>
      <c r="AL4" s="5">
        <f t="shared" si="2"/>
        <v>51840</v>
      </c>
    </row>
    <row r="5" spans="1:38" ht="15.75" x14ac:dyDescent="0.25">
      <c r="A5" s="2" t="s">
        <v>122</v>
      </c>
      <c r="B5" s="2" t="s">
        <v>124</v>
      </c>
      <c r="C5" s="2" t="s">
        <v>136</v>
      </c>
      <c r="D5" s="2" t="s">
        <v>45</v>
      </c>
      <c r="E5" s="2" t="s">
        <v>45</v>
      </c>
      <c r="F5" s="2" t="s">
        <v>46</v>
      </c>
      <c r="G5" s="2" t="s">
        <v>3</v>
      </c>
      <c r="H5" s="2" t="s">
        <v>3</v>
      </c>
      <c r="I5" s="2" t="s">
        <v>47</v>
      </c>
      <c r="J5" s="2" t="s">
        <v>3</v>
      </c>
      <c r="K5" s="2" t="s">
        <v>3</v>
      </c>
      <c r="L5" s="2" t="s">
        <v>3</v>
      </c>
      <c r="M5" s="2" t="s">
        <v>36</v>
      </c>
      <c r="N5" s="2" t="s">
        <v>48</v>
      </c>
      <c r="O5" s="2" t="s">
        <v>49</v>
      </c>
      <c r="P5" s="2" t="s">
        <v>50</v>
      </c>
      <c r="Q5" s="2">
        <v>70</v>
      </c>
      <c r="R5" s="2">
        <v>215</v>
      </c>
      <c r="S5" s="2" t="s">
        <v>3</v>
      </c>
      <c r="T5" s="4">
        <f t="shared" si="0"/>
        <v>16</v>
      </c>
      <c r="U5" s="2">
        <v>1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1</v>
      </c>
      <c r="AB5" s="2">
        <v>1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1</v>
      </c>
      <c r="AI5" s="2">
        <v>1</v>
      </c>
      <c r="AJ5" s="2">
        <v>1</v>
      </c>
      <c r="AK5" s="3">
        <f t="shared" si="1"/>
        <v>320</v>
      </c>
      <c r="AL5" s="5">
        <f t="shared" si="2"/>
        <v>550400</v>
      </c>
    </row>
    <row r="6" spans="1:38" ht="15.75" x14ac:dyDescent="0.25">
      <c r="A6" s="2" t="s">
        <v>123</v>
      </c>
      <c r="B6" s="2" t="s">
        <v>125</v>
      </c>
      <c r="C6" s="2" t="s">
        <v>137</v>
      </c>
      <c r="D6" s="2" t="s">
        <v>45</v>
      </c>
      <c r="E6" s="2" t="s">
        <v>45</v>
      </c>
      <c r="F6" s="2" t="s">
        <v>46</v>
      </c>
      <c r="G6" s="2" t="s">
        <v>3</v>
      </c>
      <c r="H6" s="2" t="s">
        <v>3</v>
      </c>
      <c r="I6" s="2" t="s">
        <v>51</v>
      </c>
      <c r="J6" s="2" t="s">
        <v>3</v>
      </c>
      <c r="K6" s="2" t="s">
        <v>3</v>
      </c>
      <c r="L6" s="2" t="s">
        <v>3</v>
      </c>
      <c r="M6" s="2" t="s">
        <v>41</v>
      </c>
      <c r="N6" s="2" t="s">
        <v>52</v>
      </c>
      <c r="O6" s="2" t="s">
        <v>53</v>
      </c>
      <c r="P6" s="2" t="s">
        <v>54</v>
      </c>
      <c r="Q6" s="2">
        <v>24</v>
      </c>
      <c r="R6" s="2">
        <v>28</v>
      </c>
      <c r="S6" s="2" t="s">
        <v>3</v>
      </c>
      <c r="T6" s="4">
        <f t="shared" si="0"/>
        <v>16</v>
      </c>
      <c r="U6" s="2">
        <v>1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2">
        <v>1</v>
      </c>
      <c r="AC6" s="2">
        <v>1</v>
      </c>
      <c r="AD6" s="2">
        <v>1</v>
      </c>
      <c r="AE6" s="2">
        <v>1</v>
      </c>
      <c r="AF6" s="2">
        <v>1</v>
      </c>
      <c r="AG6" s="2">
        <v>1</v>
      </c>
      <c r="AH6" s="2">
        <v>1</v>
      </c>
      <c r="AI6" s="2">
        <v>1</v>
      </c>
      <c r="AJ6" s="2">
        <v>1</v>
      </c>
      <c r="AK6" s="3">
        <f t="shared" si="1"/>
        <v>320</v>
      </c>
      <c r="AL6" s="5">
        <f t="shared" si="2"/>
        <v>80640</v>
      </c>
    </row>
    <row r="7" spans="1:38" ht="15.75" x14ac:dyDescent="0.25">
      <c r="A7" s="2" t="s">
        <v>123</v>
      </c>
      <c r="B7" s="2" t="s">
        <v>125</v>
      </c>
      <c r="C7" s="2" t="s">
        <v>138</v>
      </c>
      <c r="D7" s="2" t="s">
        <v>55</v>
      </c>
      <c r="E7" s="2" t="s">
        <v>55</v>
      </c>
      <c r="F7" s="2" t="s">
        <v>56</v>
      </c>
      <c r="G7" s="2" t="s">
        <v>3</v>
      </c>
      <c r="H7" s="2" t="s">
        <v>3</v>
      </c>
      <c r="I7" s="2" t="s">
        <v>57</v>
      </c>
      <c r="J7" s="2" t="s">
        <v>3</v>
      </c>
      <c r="K7" s="2" t="s">
        <v>3</v>
      </c>
      <c r="L7" s="2" t="s">
        <v>3</v>
      </c>
      <c r="M7" s="2" t="s">
        <v>36</v>
      </c>
      <c r="N7" s="2" t="s">
        <v>58</v>
      </c>
      <c r="O7" s="2" t="s">
        <v>132</v>
      </c>
      <c r="P7" s="2" t="s">
        <v>50</v>
      </c>
      <c r="Q7" s="2">
        <v>70</v>
      </c>
      <c r="R7" s="2">
        <v>215</v>
      </c>
      <c r="S7" s="2" t="s">
        <v>3</v>
      </c>
      <c r="T7" s="4">
        <f t="shared" si="0"/>
        <v>16</v>
      </c>
      <c r="U7" s="2">
        <v>1</v>
      </c>
      <c r="V7" s="2">
        <v>1</v>
      </c>
      <c r="W7" s="2">
        <v>1</v>
      </c>
      <c r="X7" s="2">
        <v>1</v>
      </c>
      <c r="Y7" s="2">
        <v>1</v>
      </c>
      <c r="Z7" s="2">
        <v>1</v>
      </c>
      <c r="AA7" s="2">
        <v>1</v>
      </c>
      <c r="AB7" s="2">
        <v>1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1</v>
      </c>
      <c r="AK7" s="3">
        <f t="shared" si="1"/>
        <v>320</v>
      </c>
      <c r="AL7" s="5">
        <f t="shared" si="2"/>
        <v>550400</v>
      </c>
    </row>
    <row r="8" spans="1:38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1:38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1:38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1:3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1:3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1:3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1:38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3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1:3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</sheetData>
  <mergeCells count="1">
    <mergeCell ref="A1:AL1"/>
  </mergeCells>
  <phoneticPr fontId="1" type="noConversion"/>
  <pageMargins left="0.7" right="0.7" top="0.75" bottom="0.75" header="0.3" footer="0.3"/>
  <ignoredErrors>
    <ignoredError sqref="A1:AL1 D7:N7 D3:S3 D4:S5 D6:S6 A2:B2 I2 M2:R2 T2:AL2 U3:AJ3 U7:AJ7 U4:AJ5 U6:AJ6 P7:S7 D2:F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"/>
  <sheetViews>
    <sheetView workbookViewId="0"/>
  </sheetViews>
  <sheetFormatPr defaultRowHeight="15" x14ac:dyDescent="0.25"/>
  <cols>
    <col min="1" max="1" width="10.875" customWidth="1"/>
    <col min="2" max="2" width="8.875" customWidth="1"/>
    <col min="3" max="3" width="22.875" customWidth="1"/>
    <col min="4" max="4" width="70.875" customWidth="1"/>
  </cols>
  <sheetData>
    <row r="1" spans="1:4" ht="15.75" x14ac:dyDescent="0.25">
      <c r="A1" t="s">
        <v>59</v>
      </c>
    </row>
    <row r="2" spans="1:4" ht="15.75" x14ac:dyDescent="0.25">
      <c r="A2" t="s">
        <v>3</v>
      </c>
    </row>
    <row r="3" spans="1:4" ht="15.75" x14ac:dyDescent="0.25">
      <c r="A3" t="s">
        <v>60</v>
      </c>
    </row>
    <row r="4" spans="1:4" ht="15.75" x14ac:dyDescent="0.25">
      <c r="A4" t="s">
        <v>3</v>
      </c>
    </row>
    <row r="5" spans="1:4" ht="15.75" x14ac:dyDescent="0.25">
      <c r="A5" t="s">
        <v>61</v>
      </c>
    </row>
    <row r="6" spans="1:4" ht="15.75" x14ac:dyDescent="0.25">
      <c r="A6" t="s">
        <v>62</v>
      </c>
      <c r="B6" t="s">
        <v>63</v>
      </c>
      <c r="C6" t="s">
        <v>64</v>
      </c>
      <c r="D6" t="s">
        <v>65</v>
      </c>
    </row>
    <row r="7" spans="1:4" ht="15.75" x14ac:dyDescent="0.25">
      <c r="A7" t="s">
        <v>66</v>
      </c>
      <c r="B7" t="s">
        <v>67</v>
      </c>
      <c r="C7" t="s">
        <v>1</v>
      </c>
      <c r="D7" t="s">
        <v>68</v>
      </c>
    </row>
    <row r="8" spans="1:4" ht="15.75" x14ac:dyDescent="0.25">
      <c r="A8" t="s">
        <v>69</v>
      </c>
      <c r="B8" t="s">
        <v>70</v>
      </c>
      <c r="C8" t="s">
        <v>2</v>
      </c>
      <c r="D8" t="s">
        <v>71</v>
      </c>
    </row>
    <row r="9" spans="1:4" ht="15.75" x14ac:dyDescent="0.25">
      <c r="A9" t="s">
        <v>72</v>
      </c>
      <c r="B9" t="s">
        <v>73</v>
      </c>
      <c r="C9" t="s">
        <v>4</v>
      </c>
      <c r="D9" t="s">
        <v>74</v>
      </c>
    </row>
    <row r="10" spans="1:4" ht="15.75" x14ac:dyDescent="0.25">
      <c r="A10" t="s">
        <v>75</v>
      </c>
      <c r="B10" t="s">
        <v>76</v>
      </c>
      <c r="C10" t="s">
        <v>5</v>
      </c>
      <c r="D10" t="s">
        <v>77</v>
      </c>
    </row>
    <row r="11" spans="1:4" ht="15.75" x14ac:dyDescent="0.25">
      <c r="A11" t="s">
        <v>78</v>
      </c>
      <c r="B11" t="s">
        <v>79</v>
      </c>
      <c r="C11" t="s">
        <v>6</v>
      </c>
      <c r="D11" t="s">
        <v>80</v>
      </c>
    </row>
    <row r="12" spans="1:4" ht="15.75" x14ac:dyDescent="0.25">
      <c r="A12" t="s">
        <v>81</v>
      </c>
      <c r="B12" t="s">
        <v>82</v>
      </c>
      <c r="C12" t="s">
        <v>7</v>
      </c>
      <c r="D12" t="s">
        <v>83</v>
      </c>
    </row>
    <row r="13" spans="1:4" ht="15.75" x14ac:dyDescent="0.25">
      <c r="A13" t="s">
        <v>84</v>
      </c>
      <c r="B13" t="s">
        <v>85</v>
      </c>
      <c r="C13" t="s">
        <v>8</v>
      </c>
      <c r="D13" t="s">
        <v>86</v>
      </c>
    </row>
    <row r="14" spans="1:4" ht="15.75" x14ac:dyDescent="0.25">
      <c r="A14" t="s">
        <v>87</v>
      </c>
      <c r="B14" t="s">
        <v>88</v>
      </c>
      <c r="C14" t="s">
        <v>9</v>
      </c>
      <c r="D14" t="s">
        <v>89</v>
      </c>
    </row>
    <row r="15" spans="1:4" ht="15.75" x14ac:dyDescent="0.25">
      <c r="A15" t="s">
        <v>90</v>
      </c>
      <c r="B15" t="s">
        <v>91</v>
      </c>
      <c r="C15" t="s">
        <v>10</v>
      </c>
      <c r="D15" t="s">
        <v>92</v>
      </c>
    </row>
    <row r="16" spans="1:4" ht="15.75" x14ac:dyDescent="0.25">
      <c r="A16" t="s">
        <v>93</v>
      </c>
      <c r="B16" t="s">
        <v>94</v>
      </c>
      <c r="C16" t="s">
        <v>11</v>
      </c>
      <c r="D16" t="s">
        <v>95</v>
      </c>
    </row>
    <row r="17" spans="1:4" ht="15.75" x14ac:dyDescent="0.25">
      <c r="A17" t="s">
        <v>96</v>
      </c>
      <c r="B17" t="s">
        <v>97</v>
      </c>
      <c r="C17" t="s">
        <v>12</v>
      </c>
      <c r="D17" t="s">
        <v>98</v>
      </c>
    </row>
    <row r="18" spans="1:4" ht="15.75" x14ac:dyDescent="0.25">
      <c r="A18" t="s">
        <v>99</v>
      </c>
      <c r="B18" t="s">
        <v>100</v>
      </c>
      <c r="C18" t="s">
        <v>13</v>
      </c>
      <c r="D18" t="s">
        <v>101</v>
      </c>
    </row>
    <row r="19" spans="1:4" ht="15.75" x14ac:dyDescent="0.25">
      <c r="A19" t="s">
        <v>102</v>
      </c>
      <c r="B19" t="s">
        <v>103</v>
      </c>
      <c r="C19" t="s">
        <v>14</v>
      </c>
      <c r="D19" t="s">
        <v>104</v>
      </c>
    </row>
    <row r="20" spans="1:4" ht="15.75" x14ac:dyDescent="0.25">
      <c r="A20" t="s">
        <v>105</v>
      </c>
      <c r="B20" t="s">
        <v>106</v>
      </c>
      <c r="C20" t="s">
        <v>107</v>
      </c>
      <c r="D20" t="s">
        <v>108</v>
      </c>
    </row>
    <row r="21" spans="1:4" ht="15.75" x14ac:dyDescent="0.25">
      <c r="A21" t="s">
        <v>109</v>
      </c>
      <c r="B21" t="s">
        <v>110</v>
      </c>
      <c r="C21" t="s">
        <v>31</v>
      </c>
      <c r="D21" t="s">
        <v>111</v>
      </c>
    </row>
    <row r="22" spans="1:4" ht="15.75" x14ac:dyDescent="0.25">
      <c r="A22" t="s">
        <v>112</v>
      </c>
      <c r="B22" t="s">
        <v>113</v>
      </c>
      <c r="C22" t="s">
        <v>32</v>
      </c>
      <c r="D22" t="s">
        <v>114</v>
      </c>
    </row>
    <row r="23" spans="1:4" ht="15.75" x14ac:dyDescent="0.25">
      <c r="A23" t="s">
        <v>3</v>
      </c>
    </row>
    <row r="24" spans="1:4" ht="15.75" x14ac:dyDescent="0.25">
      <c r="A24" t="s">
        <v>115</v>
      </c>
    </row>
    <row r="25" spans="1:4" ht="15.75" x14ac:dyDescent="0.25">
      <c r="A25" t="s">
        <v>116</v>
      </c>
    </row>
    <row r="26" spans="1:4" ht="15.75" x14ac:dyDescent="0.25">
      <c r="A26" t="s">
        <v>117</v>
      </c>
    </row>
    <row r="27" spans="1:4" ht="15.75" x14ac:dyDescent="0.25">
      <c r="A27" t="s">
        <v>3</v>
      </c>
    </row>
    <row r="28" spans="1:4" ht="15.75" x14ac:dyDescent="0.25">
      <c r="A28" t="s">
        <v>118</v>
      </c>
    </row>
    <row r="29" spans="1:4" ht="15.75" x14ac:dyDescent="0.25">
      <c r="A29" t="s">
        <v>119</v>
      </c>
    </row>
    <row r="30" spans="1:4" ht="15.75" x14ac:dyDescent="0.25">
      <c r="A30" t="s">
        <v>120</v>
      </c>
    </row>
    <row r="31" spans="1:4" ht="15.75" x14ac:dyDescent="0.25">
      <c r="A31" t="s">
        <v>121</v>
      </c>
    </row>
  </sheetData>
  <pageMargins left="0.7" right="0.7" top="0.75" bottom="0.75" header="0.3" footer="0.3"/>
  <ignoredErrors>
    <ignoredError sqref="A1:D31" numberStoredAsText="1"/>
  </ignoredErrors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Staffing Plan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Govindan, Venkat</cp:lastModifiedBy>
  <dcterms:modified xsi:type="dcterms:W3CDTF">2026-07-16T14:10:43Z</dcterms:modified>
</cp:coreProperties>
</file>